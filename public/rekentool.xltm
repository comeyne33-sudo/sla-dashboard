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ensbe.sharepoint.com/sites/SantensAutomatics/Shared Documents/07. Service Level Agreement/SLA Tools/"/>
    </mc:Choice>
  </mc:AlternateContent>
  <xr:revisionPtr revIDLastSave="0" documentId="8_{2E0DDA20-9510-4A48-ACA3-A6908A12ADE9}" xr6:coauthVersionLast="47" xr6:coauthVersionMax="47" xr10:uidLastSave="{00000000-0000-0000-0000-000000000000}"/>
  <bookViews>
    <workbookView xWindow="28680" yWindow="-120" windowWidth="38640" windowHeight="21120" xr2:uid="{00000000-000D-0000-FFFF-FFFF00000000}"/>
  </bookViews>
  <sheets>
    <sheet name="Blad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" l="1"/>
  <c r="E13" i="1"/>
  <c r="F13" i="1" s="1"/>
  <c r="E12" i="1"/>
  <c r="F12" i="1" s="1"/>
  <c r="E11" i="1"/>
  <c r="F11" i="1" s="1"/>
  <c r="E10" i="1"/>
  <c r="F10" i="1" s="1"/>
  <c r="E19" i="1"/>
  <c r="F19" i="1" s="1"/>
  <c r="E20" i="1"/>
  <c r="F20" i="1"/>
  <c r="E21" i="1"/>
  <c r="F21" i="1" s="1"/>
  <c r="F15" i="1"/>
  <c r="F14" i="1"/>
  <c r="F17" i="1"/>
  <c r="F16" i="1"/>
  <c r="F22" i="1" l="1"/>
</calcChain>
</file>

<file path=xl/sharedStrings.xml><?xml version="1.0" encoding="utf-8"?>
<sst xmlns="http://schemas.openxmlformats.org/spreadsheetml/2006/main" count="57" uniqueCount="33">
  <si>
    <t>SLA-Tool Toegangscontrole</t>
  </si>
  <si>
    <t>Aantal</t>
  </si>
  <si>
    <t>Tarief</t>
  </si>
  <si>
    <t>TOTAAL</t>
  </si>
  <si>
    <t>Type</t>
  </si>
  <si>
    <t>Totaal aantal punten &lt;50</t>
  </si>
  <si>
    <t>Totaal aantal punt 50---&gt; 100</t>
  </si>
  <si>
    <t>Totaal toegangspunten +100</t>
  </si>
  <si>
    <t>VAST</t>
  </si>
  <si>
    <t>Basic</t>
  </si>
  <si>
    <t>Garnituur</t>
  </si>
  <si>
    <t>EUR</t>
  </si>
  <si>
    <t>Comfort</t>
  </si>
  <si>
    <t>Cilinder</t>
  </si>
  <si>
    <t>VARIABEL</t>
  </si>
  <si>
    <t>Verplaatsing</t>
  </si>
  <si>
    <t>REST</t>
  </si>
  <si>
    <t>Locker</t>
  </si>
  <si>
    <t>Wandlezer</t>
  </si>
  <si>
    <t>Firmware update</t>
  </si>
  <si>
    <t>Sturing/Wandlezer</t>
  </si>
  <si>
    <t>AAA / mini - one - orgnl+ - XS4 locker (3st)</t>
  </si>
  <si>
    <t>AA / keypad grt. (3st)</t>
  </si>
  <si>
    <t>LR1 / NEO (4st)</t>
  </si>
  <si>
    <t>Voorijkost</t>
  </si>
  <si>
    <t>O-VL</t>
  </si>
  <si>
    <t>Batterijen CR2 / GEO (1st)</t>
  </si>
  <si>
    <t>W-VL</t>
  </si>
  <si>
    <t>Premium</t>
  </si>
  <si>
    <t>Firmwareupdate</t>
  </si>
  <si>
    <t>Servicekost</t>
  </si>
  <si>
    <t>Uurtarief</t>
  </si>
  <si>
    <t xml:space="preserve">Scholing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</si>
</sst>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9999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2" borderId="1" xfId="0" applyFill="1" applyBorder="1"/>
    <xf numFmtId="0" fontId="0" fillId="2" borderId="7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4" xfId="0" applyFill="1" applyBorder="1"/>
    <xf numFmtId="0" fontId="0" fillId="2" borderId="3" xfId="0" applyFill="1" applyBorder="1"/>
    <xf numFmtId="0" fontId="1" fillId="2" borderId="0" xfId="0" applyFont="1" applyFill="1"/>
    <xf numFmtId="0" fontId="2" fillId="2" borderId="0" xfId="0" applyFont="1" applyFill="1"/>
    <xf numFmtId="0" fontId="1" fillId="2" borderId="8" xfId="0" applyFont="1" applyFill="1" applyBorder="1"/>
    <xf numFmtId="0" fontId="3" fillId="2" borderId="0" xfId="0" applyFont="1" applyFill="1"/>
    <xf numFmtId="0" fontId="1" fillId="3" borderId="5" xfId="0" applyFont="1" applyFill="1" applyBorder="1"/>
    <xf numFmtId="0" fontId="0" fillId="2" borderId="9" xfId="0" applyFill="1" applyBorder="1"/>
    <xf numFmtId="0" fontId="1" fillId="2" borderId="7" xfId="0" applyFont="1" applyFill="1" applyBorder="1"/>
    <xf numFmtId="0" fontId="0" fillId="2" borderId="10" xfId="0" applyFill="1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16" xfId="0" applyFill="1" applyBorder="1"/>
    <xf numFmtId="0" fontId="0" fillId="2" borderId="0" xfId="0" applyFill="1" applyAlignment="1">
      <alignment horizontal="right"/>
    </xf>
    <xf numFmtId="0" fontId="0" fillId="2" borderId="22" xfId="0" applyFill="1" applyBorder="1" applyAlignment="1">
      <alignment horizontal="left"/>
    </xf>
    <xf numFmtId="0" fontId="0" fillId="2" borderId="23" xfId="0" applyFill="1" applyBorder="1" applyAlignment="1">
      <alignment horizontal="left"/>
    </xf>
    <xf numFmtId="0" fontId="0" fillId="2" borderId="11" xfId="0" applyFill="1" applyBorder="1"/>
    <xf numFmtId="0" fontId="1" fillId="4" borderId="13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6" xfId="0" applyFill="1" applyBorder="1" applyProtection="1"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2" borderId="15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15" xfId="0" applyFill="1" applyBorder="1" applyAlignment="1">
      <alignment horizontal="center"/>
    </xf>
    <xf numFmtId="0" fontId="0" fillId="2" borderId="14" xfId="0" applyFill="1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Medium9"/>
  <colors>
    <mruColors>
      <color rgb="FFFF99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B2:N40"/>
  <sheetViews>
    <sheetView tabSelected="1" zoomScale="110" zoomScaleNormal="110" workbookViewId="0">
      <selection activeCell="G27" sqref="G27"/>
    </sheetView>
  </sheetViews>
  <sheetFormatPr defaultColWidth="9.109375" defaultRowHeight="14.4" x14ac:dyDescent="0.3"/>
  <cols>
    <col min="1" max="1" width="2.109375" style="1" customWidth="1"/>
    <col min="2" max="2" width="17" style="1" customWidth="1"/>
    <col min="3" max="3" width="54.88671875" style="1" customWidth="1"/>
    <col min="4" max="4" width="9.109375" style="1"/>
    <col min="5" max="5" width="9.5546875" style="1" customWidth="1"/>
    <col min="6" max="6" width="9.109375" style="1"/>
    <col min="7" max="7" width="9.109375" style="10"/>
    <col min="8" max="8" width="17.44140625" style="1" customWidth="1"/>
    <col min="9" max="9" width="14.5546875" style="1" customWidth="1"/>
    <col min="10" max="10" width="17.33203125" style="1" customWidth="1"/>
    <col min="11" max="11" width="14.88671875" style="1" customWidth="1"/>
    <col min="12" max="12" width="13.44140625" style="1" customWidth="1"/>
    <col min="13" max="13" width="14.44140625" style="1" customWidth="1"/>
    <col min="14" max="14" width="18.33203125" style="1" customWidth="1"/>
    <col min="15" max="16384" width="9.109375" style="1"/>
  </cols>
  <sheetData>
    <row r="2" spans="2:14" ht="31.2" x14ac:dyDescent="0.6">
      <c r="C2" s="12" t="s">
        <v>0</v>
      </c>
    </row>
    <row r="3" spans="2:14" x14ac:dyDescent="0.3">
      <c r="C3" s="9"/>
    </row>
    <row r="5" spans="2:14" ht="15" thickBot="1" x14ac:dyDescent="0.35"/>
    <row r="6" spans="2:14" ht="15" thickBot="1" x14ac:dyDescent="0.35">
      <c r="C6" s="11"/>
      <c r="D6" s="2" t="s">
        <v>1</v>
      </c>
      <c r="E6" s="3" t="s">
        <v>2</v>
      </c>
      <c r="F6" s="11" t="s">
        <v>3</v>
      </c>
      <c r="H6" s="18" t="s">
        <v>4</v>
      </c>
      <c r="I6" s="38" t="s">
        <v>5</v>
      </c>
      <c r="J6" s="38"/>
      <c r="K6" s="38" t="s">
        <v>6</v>
      </c>
      <c r="L6" s="38"/>
      <c r="M6" s="38" t="s">
        <v>7</v>
      </c>
      <c r="N6" s="39"/>
    </row>
    <row r="7" spans="2:14" ht="15" thickBot="1" x14ac:dyDescent="0.35">
      <c r="B7" s="16" t="s">
        <v>8</v>
      </c>
      <c r="C7" s="31" t="s">
        <v>9</v>
      </c>
      <c r="D7" s="21"/>
      <c r="E7" s="22"/>
      <c r="F7" s="23">
        <v>280</v>
      </c>
      <c r="H7" s="24" t="s">
        <v>10</v>
      </c>
      <c r="I7" s="1">
        <v>15</v>
      </c>
      <c r="J7" s="1" t="s">
        <v>11</v>
      </c>
      <c r="K7" s="1">
        <v>12</v>
      </c>
      <c r="L7" s="1" t="s">
        <v>11</v>
      </c>
      <c r="M7" s="1">
        <v>10</v>
      </c>
      <c r="N7" s="25" t="s">
        <v>11</v>
      </c>
    </row>
    <row r="8" spans="2:14" ht="15" thickBot="1" x14ac:dyDescent="0.35">
      <c r="B8" s="17"/>
      <c r="C8" s="32" t="s">
        <v>12</v>
      </c>
      <c r="D8" s="18"/>
      <c r="E8" s="20"/>
      <c r="F8" s="19"/>
      <c r="H8" s="24" t="s">
        <v>13</v>
      </c>
      <c r="I8" s="1">
        <v>30</v>
      </c>
      <c r="J8" s="1" t="s">
        <v>11</v>
      </c>
      <c r="K8" s="1">
        <v>25</v>
      </c>
      <c r="L8" s="1" t="s">
        <v>11</v>
      </c>
      <c r="M8" s="1">
        <v>15</v>
      </c>
      <c r="N8" s="25" t="s">
        <v>11</v>
      </c>
    </row>
    <row r="9" spans="2:14" x14ac:dyDescent="0.3">
      <c r="B9" s="6" t="s">
        <v>14</v>
      </c>
      <c r="C9" s="5" t="s">
        <v>15</v>
      </c>
      <c r="D9" s="35">
        <v>1</v>
      </c>
      <c r="E9" s="36" t="s">
        <v>16</v>
      </c>
      <c r="F9" s="6">
        <f>IF(OR(D9=1,D9=""),VLOOKUP(E9,I16:J18,2,FALSE),VLOOKUP(E9,I16:J18,2,FALSE)*D9)</f>
        <v>180</v>
      </c>
      <c r="H9" s="24" t="s">
        <v>17</v>
      </c>
      <c r="I9" s="1">
        <v>10</v>
      </c>
      <c r="J9" s="1" t="s">
        <v>11</v>
      </c>
      <c r="K9" s="1">
        <v>8</v>
      </c>
      <c r="L9" s="1" t="s">
        <v>11</v>
      </c>
      <c r="M9" s="1">
        <v>7</v>
      </c>
      <c r="N9" s="25" t="s">
        <v>11</v>
      </c>
    </row>
    <row r="10" spans="2:14" x14ac:dyDescent="0.3">
      <c r="B10" s="6"/>
      <c r="C10" s="5" t="s">
        <v>10</v>
      </c>
      <c r="D10" s="35">
        <v>0</v>
      </c>
      <c r="E10" s="1">
        <f>IF(SUM(D10:D13)&lt;50,I7,IF(SUM(D10:D13)&lt;100,K7,M7))</f>
        <v>15</v>
      </c>
      <c r="F10" s="6">
        <f t="shared" ref="F10:F13" si="0">E10*D10</f>
        <v>0</v>
      </c>
      <c r="H10" s="24" t="s">
        <v>18</v>
      </c>
      <c r="I10" s="1">
        <v>20</v>
      </c>
      <c r="J10" s="1" t="s">
        <v>11</v>
      </c>
      <c r="K10" s="1">
        <v>15</v>
      </c>
      <c r="L10" s="1" t="s">
        <v>11</v>
      </c>
      <c r="M10" s="1">
        <v>10</v>
      </c>
      <c r="N10" s="25" t="s">
        <v>11</v>
      </c>
    </row>
    <row r="11" spans="2:14" x14ac:dyDescent="0.3">
      <c r="B11" s="6"/>
      <c r="C11" s="5" t="s">
        <v>13</v>
      </c>
      <c r="D11" s="35">
        <v>0</v>
      </c>
      <c r="E11" s="1">
        <f>IF(SUM(D10:D13)&lt;50,I8,IF(SUM(D10:D13)&lt;100,K8,M8))</f>
        <v>30</v>
      </c>
      <c r="F11" s="6">
        <f t="shared" si="0"/>
        <v>0</v>
      </c>
      <c r="H11" s="24" t="s">
        <v>19</v>
      </c>
      <c r="I11" s="27">
        <v>12</v>
      </c>
      <c r="J11" s="1" t="s">
        <v>11</v>
      </c>
      <c r="K11" s="27">
        <v>12</v>
      </c>
      <c r="L11" s="1" t="s">
        <v>11</v>
      </c>
      <c r="M11" s="27">
        <v>12</v>
      </c>
      <c r="N11" s="25" t="s">
        <v>11</v>
      </c>
    </row>
    <row r="12" spans="2:14" ht="15" thickBot="1" x14ac:dyDescent="0.35">
      <c r="B12" s="6"/>
      <c r="C12" s="5" t="s">
        <v>17</v>
      </c>
      <c r="D12" s="35">
        <v>0</v>
      </c>
      <c r="E12" s="1">
        <f>IF(SUM(D10:D13)&lt;50,I9,IF(SUM(D10:D13)&lt;100,K9,M9))</f>
        <v>10</v>
      </c>
      <c r="F12" s="6">
        <f t="shared" si="0"/>
        <v>0</v>
      </c>
      <c r="H12" s="26"/>
      <c r="I12" s="28"/>
      <c r="J12" s="28"/>
      <c r="K12" s="28"/>
      <c r="L12" s="28"/>
      <c r="M12" s="28"/>
      <c r="N12" s="29"/>
    </row>
    <row r="13" spans="2:14" x14ac:dyDescent="0.3">
      <c r="B13" s="6"/>
      <c r="C13" s="5" t="s">
        <v>20</v>
      </c>
      <c r="D13" s="35">
        <v>0</v>
      </c>
      <c r="E13" s="1">
        <f>IF(SUM(D10:D13)&lt;50,I10,IF(SUM(D10:D13)&lt;100,K10,M10))</f>
        <v>20</v>
      </c>
      <c r="F13" s="6">
        <f t="shared" si="0"/>
        <v>0</v>
      </c>
    </row>
    <row r="14" spans="2:14" x14ac:dyDescent="0.3">
      <c r="B14" s="6"/>
      <c r="C14" s="5" t="s">
        <v>21</v>
      </c>
      <c r="D14" s="35">
        <v>0</v>
      </c>
      <c r="E14" s="1">
        <v>3</v>
      </c>
      <c r="F14" s="6">
        <f t="shared" ref="F14" si="1">E14*D14</f>
        <v>0</v>
      </c>
    </row>
    <row r="15" spans="2:14" ht="15" thickBot="1" x14ac:dyDescent="0.35">
      <c r="B15" s="6"/>
      <c r="C15" s="5" t="s">
        <v>22</v>
      </c>
      <c r="D15" s="35">
        <v>0</v>
      </c>
      <c r="E15" s="1">
        <v>4</v>
      </c>
      <c r="F15" s="6">
        <f>E15*D15</f>
        <v>0</v>
      </c>
    </row>
    <row r="16" spans="2:14" ht="15" thickBot="1" x14ac:dyDescent="0.35">
      <c r="B16" s="6"/>
      <c r="C16" s="5" t="s">
        <v>23</v>
      </c>
      <c r="D16" s="35">
        <v>0</v>
      </c>
      <c r="E16" s="1">
        <v>6</v>
      </c>
      <c r="F16" s="6">
        <f>E16*D16</f>
        <v>0</v>
      </c>
      <c r="H16" s="30" t="s">
        <v>24</v>
      </c>
      <c r="I16" s="30" t="s">
        <v>25</v>
      </c>
      <c r="J16" s="18">
        <v>95</v>
      </c>
      <c r="K16" s="19" t="s">
        <v>11</v>
      </c>
    </row>
    <row r="17" spans="2:11" ht="15" thickBot="1" x14ac:dyDescent="0.35">
      <c r="B17" s="6"/>
      <c r="C17" s="5" t="s">
        <v>26</v>
      </c>
      <c r="D17" s="35">
        <v>0</v>
      </c>
      <c r="E17" s="1">
        <v>2</v>
      </c>
      <c r="F17" s="6">
        <f>E17*D17</f>
        <v>0</v>
      </c>
      <c r="I17" s="30" t="s">
        <v>27</v>
      </c>
      <c r="J17" s="18">
        <v>125</v>
      </c>
      <c r="K17" s="19" t="s">
        <v>11</v>
      </c>
    </row>
    <row r="18" spans="2:11" ht="15" thickBot="1" x14ac:dyDescent="0.35">
      <c r="B18" s="14"/>
      <c r="C18" s="33" t="s">
        <v>28</v>
      </c>
      <c r="D18" s="18"/>
      <c r="E18" s="37" t="b">
        <v>0</v>
      </c>
      <c r="F18" s="19"/>
      <c r="I18" s="30" t="s">
        <v>16</v>
      </c>
      <c r="J18" s="18">
        <v>180</v>
      </c>
      <c r="K18" s="19" t="s">
        <v>11</v>
      </c>
    </row>
    <row r="19" spans="2:11" ht="15" thickBot="1" x14ac:dyDescent="0.35">
      <c r="B19" s="6"/>
      <c r="C19" s="5" t="s">
        <v>29</v>
      </c>
      <c r="D19" s="35">
        <v>0</v>
      </c>
      <c r="E19" s="1">
        <f>I11</f>
        <v>12</v>
      </c>
      <c r="F19" s="6">
        <f>E19*D19</f>
        <v>0</v>
      </c>
    </row>
    <row r="20" spans="2:11" ht="15" thickBot="1" x14ac:dyDescent="0.35">
      <c r="B20" s="6"/>
      <c r="C20" s="5" t="s">
        <v>15</v>
      </c>
      <c r="D20" s="6"/>
      <c r="E20" s="34" t="str">
        <f>E9</f>
        <v>REST</v>
      </c>
      <c r="F20" s="6">
        <f>VLOOKUP(E9,I16:J18,2,FALSE)</f>
        <v>180</v>
      </c>
      <c r="H20" s="30" t="s">
        <v>30</v>
      </c>
      <c r="I20" s="30" t="s">
        <v>31</v>
      </c>
      <c r="J20" s="18">
        <v>84</v>
      </c>
      <c r="K20" s="19" t="s">
        <v>11</v>
      </c>
    </row>
    <row r="21" spans="2:11" ht="15" thickBot="1" x14ac:dyDescent="0.35">
      <c r="B21" s="4"/>
      <c r="C21" s="7" t="s">
        <v>32</v>
      </c>
      <c r="D21" s="4">
        <v>2</v>
      </c>
      <c r="E21" s="8">
        <f>J20</f>
        <v>84</v>
      </c>
      <c r="F21" s="6">
        <f>E21*D21</f>
        <v>168</v>
      </c>
    </row>
    <row r="22" spans="2:11" ht="15" thickBot="1" x14ac:dyDescent="0.35">
      <c r="B22" s="15" t="s">
        <v>3</v>
      </c>
      <c r="C22" s="8"/>
      <c r="D22" s="8"/>
      <c r="E22" s="8"/>
      <c r="F22" s="13">
        <f>IF(E18=TRUE,SUM(F7:F21),SUM(F7:F17))</f>
        <v>460</v>
      </c>
    </row>
    <row r="26" spans="2:11" x14ac:dyDescent="0.3">
      <c r="C26" s="9"/>
      <c r="G26" s="1"/>
    </row>
    <row r="27" spans="2:11" x14ac:dyDescent="0.3">
      <c r="G27" s="1"/>
    </row>
    <row r="28" spans="2:11" x14ac:dyDescent="0.3">
      <c r="G28" s="1"/>
    </row>
    <row r="29" spans="2:11" x14ac:dyDescent="0.3">
      <c r="G29" s="1"/>
    </row>
    <row r="30" spans="2:11" x14ac:dyDescent="0.3">
      <c r="G30" s="1"/>
    </row>
    <row r="31" spans="2:11" x14ac:dyDescent="0.3">
      <c r="G31" s="1"/>
    </row>
    <row r="32" spans="2:11" x14ac:dyDescent="0.3">
      <c r="G32" s="1"/>
    </row>
    <row r="33" spans="7:7" x14ac:dyDescent="0.3">
      <c r="G33" s="1"/>
    </row>
    <row r="34" spans="7:7" x14ac:dyDescent="0.3">
      <c r="G34" s="1"/>
    </row>
    <row r="35" spans="7:7" x14ac:dyDescent="0.3">
      <c r="G35" s="1"/>
    </row>
    <row r="36" spans="7:7" x14ac:dyDescent="0.3">
      <c r="G36" s="1"/>
    </row>
    <row r="37" spans="7:7" x14ac:dyDescent="0.3">
      <c r="G37" s="1"/>
    </row>
    <row r="38" spans="7:7" x14ac:dyDescent="0.3">
      <c r="G38" s="1"/>
    </row>
    <row r="39" spans="7:7" x14ac:dyDescent="0.3">
      <c r="G39" s="1"/>
    </row>
    <row r="40" spans="7:7" x14ac:dyDescent="0.3">
      <c r="G40" s="1"/>
    </row>
  </sheetData>
  <sheetProtection sheet="1" objects="1" scenarios="1"/>
  <mergeCells count="3">
    <mergeCell ref="K6:L6"/>
    <mergeCell ref="I6:J6"/>
    <mergeCell ref="M6:N6"/>
  </mergeCells>
  <dataValidations count="1">
    <dataValidation type="list" allowBlank="1" showInputMessage="1" showErrorMessage="1" sqref="E9" xr:uid="{562FAC72-5AF7-4FE1-A352-307DAE860445}">
      <formula1>$I$16:$I$18</formula1>
    </dataValidation>
  </dataValidations>
  <pageMargins left="0.7" right="0.7" top="0.75" bottom="0.75" header="0.3" footer="0.3"/>
  <pageSetup paperSize="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AE91ECFFDE9A4CA12F4CD556F1B6F4" ma:contentTypeVersion="20" ma:contentTypeDescription="Een nieuw document maken." ma:contentTypeScope="" ma:versionID="76ff8813748735648a427a5930022112">
  <xsd:schema xmlns:xsd="http://www.w3.org/2001/XMLSchema" xmlns:xs="http://www.w3.org/2001/XMLSchema" xmlns:p="http://schemas.microsoft.com/office/2006/metadata/properties" xmlns:ns2="83d5b51b-5359-4356-b21e-98114d30efc8" xmlns:ns3="7a55c339-715f-4a99-98c4-847b08bdea6f" targetNamespace="http://schemas.microsoft.com/office/2006/metadata/properties" ma:root="true" ma:fieldsID="a83d8c0b3d6ebfac6f0aafe25584bbee" ns2:_="" ns3:_="">
    <xsd:import namespace="83d5b51b-5359-4356-b21e-98114d30efc8"/>
    <xsd:import namespace="7a55c339-715f-4a99-98c4-847b08bdea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ogpf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d5b51b-5359-4356-b21e-98114d30ef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ogpf" ma:index="18" nillable="true" ma:displayName="Datum en tijd" ma:internalName="ogpf">
      <xsd:simpleType>
        <xsd:restriction base="dms:DateTime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1" nillable="true" ma:displayName="Sign-off status" ma:format="Dropdown" ma:internalName="Sign_x002d_off_x0020_status">
      <xsd:simpleType>
        <xsd:restriction base="dms:Text">
          <xsd:maxLength value="255"/>
        </xsd:restriction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Afbeeldingtags" ma:readOnly="false" ma:fieldId="{5cf76f15-5ced-4ddc-b409-7134ff3c332f}" ma:taxonomyMulti="true" ma:sspId="513eb691-4ebc-4597-9a7b-d135149f39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55c339-715f-4a99-98c4-847b08bdea6f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68af8b12-1845-4661-ace9-ba8021c98033}" ma:internalName="TaxCatchAll" ma:showField="CatchAllData" ma:web="7a55c339-715f-4a99-98c4-847b08bdea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gpf xmlns="83d5b51b-5359-4356-b21e-98114d30efc8" xsi:nil="true"/>
    <_Flow_SignoffStatus xmlns="83d5b51b-5359-4356-b21e-98114d30efc8" xsi:nil="true"/>
    <TaxCatchAll xmlns="7a55c339-715f-4a99-98c4-847b08bdea6f" xsi:nil="true"/>
    <lcf76f155ced4ddcb4097134ff3c332f xmlns="83d5b51b-5359-4356-b21e-98114d30efc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B48DED3-586B-4057-A708-B27B6F7166C2}"/>
</file>

<file path=customXml/itemProps2.xml><?xml version="1.0" encoding="utf-8"?>
<ds:datastoreItem xmlns:ds="http://schemas.openxmlformats.org/officeDocument/2006/customXml" ds:itemID="{A7243004-4614-48CF-98E0-13E29321A21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E6B254-325E-4E0A-B730-A0175A925CFF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83d5b51b-5359-4356-b21e-98114d30efc8"/>
    <ds:schemaRef ds:uri="http://purl.org/dc/dcmitype/"/>
    <ds:schemaRef ds:uri="http://purl.org/dc/terms/"/>
    <ds:schemaRef ds:uri="http://schemas.openxmlformats.org/package/2006/metadata/core-properties"/>
    <ds:schemaRef ds:uri="7a55c339-715f-4a99-98c4-847b08bdea6f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Vincent Comeyne</dc:creator>
  <cp:keywords/>
  <dc:description/>
  <cp:lastModifiedBy>Vincent Comeyne</cp:lastModifiedBy>
  <cp:revision/>
  <dcterms:created xsi:type="dcterms:W3CDTF">2021-07-07T07:51:38Z</dcterms:created>
  <dcterms:modified xsi:type="dcterms:W3CDTF">2026-01-20T14:35:01Z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0x0101007FAE91ECFFDE9A4CA12F4CD556F1B6F4</vt:lpwstr>
  </property>
  <property fmtid="{D5CDD505-2E9C-101B-9397-08002B2CF9AE}" pid="3" name="MediaServiceImageTags">
    <vt:lpwstr/>
  </property>
</Properties>
</file>